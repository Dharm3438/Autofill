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harmesh\Desktop\Autofill\"/>
    </mc:Choice>
  </mc:AlternateContent>
  <xr:revisionPtr revIDLastSave="0" documentId="13_ncr:1_{218ED326-C1B9-42E6-A1EC-709A3EBD7606}" xr6:coauthVersionLast="36" xr6:coauthVersionMax="36" xr10:uidLastSave="{00000000-0000-0000-0000-000000000000}"/>
  <bookViews>
    <workbookView xWindow="0" yWindow="0" windowWidth="20490" windowHeight="7545" xr2:uid="{4C90462E-EB49-4844-8D3D-C7A54EA72768}"/>
  </bookViews>
  <sheets>
    <sheet name="Sheet1" sheetId="3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3" i="3" l="1"/>
  <c r="R2" i="3"/>
</calcChain>
</file>

<file path=xl/sharedStrings.xml><?xml version="1.0" encoding="utf-8"?>
<sst xmlns="http://schemas.openxmlformats.org/spreadsheetml/2006/main" count="57" uniqueCount="48">
  <si>
    <t>SOLAR_CAPACITY</t>
  </si>
  <si>
    <t>CONSUMER_NAME</t>
  </si>
  <si>
    <t>CONSUMER_ADDRESS</t>
  </si>
  <si>
    <t>CONSUMER_APP_NO</t>
  </si>
  <si>
    <t>CONSUMER_APP_DATE</t>
  </si>
  <si>
    <t>PANEL_WATT</t>
  </si>
  <si>
    <t>NO_OF_PANEL</t>
  </si>
  <si>
    <t>PANEL_COMPANY</t>
  </si>
  <si>
    <t>TOTAL_PANEL_CAPACITY</t>
  </si>
  <si>
    <t>PANEL_SR_NO</t>
  </si>
  <si>
    <t>CONSUMER_NO</t>
  </si>
  <si>
    <t>CONSUMER_PHONE</t>
  </si>
  <si>
    <t>CONSUMER_EMAIL</t>
  </si>
  <si>
    <t>SANCTIONED_CAPACITY</t>
  </si>
  <si>
    <t>INSTALLATION_DATE</t>
  </si>
  <si>
    <t>INVERTER_CAPACITY</t>
  </si>
  <si>
    <t>INVERTER_MAKE</t>
  </si>
  <si>
    <t>INSTALLATION_CITY</t>
  </si>
  <si>
    <t>INSTALLATION_DISTRICT</t>
  </si>
  <si>
    <t>CONSUMER_AADHAR</t>
  </si>
  <si>
    <t>PANEL_GURANTEE</t>
  </si>
  <si>
    <t>INVERTER_GURANTEE</t>
  </si>
  <si>
    <t>Chalisgaon</t>
  </si>
  <si>
    <t>Jalgaon</t>
  </si>
  <si>
    <t>DISCOM_REGISTERED_OFFICE</t>
  </si>
  <si>
    <t>Shri Bhagwan Waman Pawar</t>
  </si>
  <si>
    <t>bp1661215@gmail.com</t>
  </si>
  <si>
    <t>10 Years</t>
  </si>
  <si>
    <t>27 Years</t>
  </si>
  <si>
    <t>Chalisgaon-R2</t>
  </si>
  <si>
    <t>UTHXB16GBY525B009395, UTHXB16GBY525B009387, UTHXB16GBY525B009398, UTHXB16GBY525B009452, UTHXB16GBY525B009374, UTHXB16GBY525B009361</t>
  </si>
  <si>
    <t>INVERTER_SR_NO</t>
  </si>
  <si>
    <t>FXUS1332511B848</t>
  </si>
  <si>
    <t>UTL</t>
  </si>
  <si>
    <t>SYSTEM_COST</t>
  </si>
  <si>
    <t>Shri Sanjay Kumar Jijabrao Deshmukh</t>
  </si>
  <si>
    <t>siddharthdeshmukh928@gmail.com</t>
  </si>
  <si>
    <t>Chalisgaon-U</t>
  </si>
  <si>
    <t>UTHXB16GCY525B021113, UTHXB16GCY525B020972, UTHXB16GCY525B020638, UTHXB16GCY525B021117, UTHXB16GCY525B021125, UTHXB16GCY525B018391</t>
  </si>
  <si>
    <t>HNO. 227/2, Khadki Bk Tq. Chalisgaon</t>
  </si>
  <si>
    <t>Gajanan Construction Chalisgaon - 424101</t>
  </si>
  <si>
    <t>FX2S5324J1A1298</t>
  </si>
  <si>
    <t>METER_TESTING_DATE</t>
  </si>
  <si>
    <t>METER_RECIPT_NO</t>
  </si>
  <si>
    <t>L&amp;T</t>
  </si>
  <si>
    <t>A9094612</t>
  </si>
  <si>
    <t>GENERATION_METER_MAKE</t>
  </si>
  <si>
    <t>GENERATION_METER_NO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</si>
</sst>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14" fontId="0" fillId="0" borderId="0" xfId="0" applyNumberFormat="1" applyAlignment="1">
      <alignment wrapText="1"/>
    </xf>
    <xf numFmtId="0" fontId="0" fillId="0" borderId="0" xfId="0" applyNumberFormat="1" applyAlignment="1">
      <alignment wrapText="1"/>
    </xf>
    <xf numFmtId="0" fontId="1" fillId="0" borderId="0" xfId="1" applyNumberFormat="1" applyAlignment="1">
      <alignment wrapText="1"/>
    </xf>
    <xf numFmtId="2" fontId="0" fillId="0" borderId="0" xfId="0" applyNumberFormat="1" applyAlignment="1">
      <alignment wrapText="1"/>
    </xf>
    <xf numFmtId="0" fontId="2" fillId="0" borderId="0" xfId="0" applyFont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siddharthdeshmukh928@gmail.com" TargetMode="External"/><Relationship Id="rId1" Type="http://schemas.openxmlformats.org/officeDocument/2006/relationships/hyperlink" Target="mailto:bp1661215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AFEC-6B2A-4D36-9588-F559C9B7DC78}">
  <dimension ref="A1:AC3"/>
  <sheetViews>
    <sheetView tabSelected="1" topLeftCell="I1" zoomScale="85" zoomScaleNormal="85" workbookViewId="0">
      <pane ySplit="1" topLeftCell="A2" activePane="bottomLeft" state="frozen"/>
      <selection activeCell="O1" sqref="O1"/>
      <selection pane="bottomLeft" activeCell="P2" sqref="P2"/>
    </sheetView>
  </sheetViews>
  <sheetFormatPr defaultRowHeight="15" x14ac:dyDescent="0.25"/>
  <cols>
    <col min="1" max="1" width="17.85546875" style="2" bestFit="1" customWidth="1"/>
    <col min="2" max="2" width="20.42578125" style="2" bestFit="1" customWidth="1"/>
    <col min="3" max="3" width="18.7109375" style="2" bestFit="1" customWidth="1"/>
    <col min="4" max="4" width="17.85546875" style="2" bestFit="1" customWidth="1"/>
    <col min="5" max="5" width="19.7109375" style="4" customWidth="1"/>
    <col min="6" max="6" width="15.7109375" style="4" bestFit="1" customWidth="1"/>
    <col min="7" max="7" width="22.5703125" style="2" bestFit="1" customWidth="1"/>
    <col min="8" max="8" width="21.7109375" style="2" bestFit="1" customWidth="1"/>
    <col min="9" max="9" width="19.85546875" style="2" bestFit="1" customWidth="1"/>
    <col min="10" max="10" width="16.42578125" style="2" bestFit="1" customWidth="1"/>
    <col min="11" max="11" width="15.85546875" style="2" bestFit="1" customWidth="1"/>
    <col min="12" max="12" width="19.42578125" style="2" bestFit="1" customWidth="1"/>
    <col min="13" max="13" width="20.28515625" style="2" bestFit="1" customWidth="1"/>
    <col min="14" max="14" width="20.28515625" style="2" customWidth="1"/>
    <col min="15" max="15" width="17" style="2" bestFit="1" customWidth="1"/>
    <col min="16" max="16" width="12.85546875" style="2" bestFit="1" customWidth="1"/>
    <col min="17" max="17" width="14.140625" style="2" bestFit="1" customWidth="1"/>
    <col min="18" max="18" width="23.28515625" style="2" bestFit="1" customWidth="1"/>
    <col min="19" max="19" width="13.85546875" style="2" bestFit="1" customWidth="1"/>
    <col min="20" max="20" width="17.42578125" style="2" bestFit="1" customWidth="1"/>
    <col min="21" max="21" width="19.5703125" style="2" bestFit="1" customWidth="1"/>
    <col min="22" max="22" width="18.7109375" style="2" bestFit="1" customWidth="1"/>
    <col min="23" max="23" width="22.85546875" style="2" bestFit="1" customWidth="1"/>
    <col min="24" max="24" width="27.42578125" style="2" customWidth="1"/>
    <col min="25" max="25" width="14.140625" style="2" customWidth="1"/>
    <col min="26" max="26" width="21.85546875" style="2" customWidth="1"/>
    <col min="27" max="27" width="18.42578125" style="2" customWidth="1"/>
    <col min="28" max="28" width="26.5703125" style="2" customWidth="1"/>
    <col min="29" max="29" width="24.140625" style="2" customWidth="1"/>
    <col min="30" max="16384" width="9.140625" style="2"/>
  </cols>
  <sheetData>
    <row r="1" spans="1:29" ht="30" x14ac:dyDescent="0.25">
      <c r="A1" s="2" t="s">
        <v>1</v>
      </c>
      <c r="B1" s="2" t="s">
        <v>2</v>
      </c>
      <c r="C1" s="2" t="s">
        <v>11</v>
      </c>
      <c r="D1" s="2" t="s">
        <v>12</v>
      </c>
      <c r="E1" s="4" t="s">
        <v>19</v>
      </c>
      <c r="F1" s="4" t="s">
        <v>10</v>
      </c>
      <c r="G1" s="2" t="s">
        <v>13</v>
      </c>
      <c r="H1" s="2" t="s">
        <v>4</v>
      </c>
      <c r="I1" s="2" t="s">
        <v>3</v>
      </c>
      <c r="J1" s="2" t="s">
        <v>0</v>
      </c>
      <c r="K1" s="2" t="s">
        <v>16</v>
      </c>
      <c r="L1" s="2" t="s">
        <v>15</v>
      </c>
      <c r="M1" s="2" t="s">
        <v>21</v>
      </c>
      <c r="N1" s="2" t="s">
        <v>31</v>
      </c>
      <c r="O1" s="2" t="s">
        <v>7</v>
      </c>
      <c r="P1" s="2" t="s">
        <v>5</v>
      </c>
      <c r="Q1" s="2" t="s">
        <v>6</v>
      </c>
      <c r="R1" s="2" t="s">
        <v>8</v>
      </c>
      <c r="S1" s="2" t="s">
        <v>9</v>
      </c>
      <c r="T1" s="2" t="s">
        <v>20</v>
      </c>
      <c r="U1" s="2" t="s">
        <v>14</v>
      </c>
      <c r="V1" s="2" t="s">
        <v>17</v>
      </c>
      <c r="W1" s="2" t="s">
        <v>18</v>
      </c>
      <c r="X1" s="2" t="s">
        <v>24</v>
      </c>
      <c r="Y1" s="2" t="s">
        <v>34</v>
      </c>
      <c r="Z1" s="2" t="s">
        <v>42</v>
      </c>
      <c r="AA1" s="2" t="s">
        <v>43</v>
      </c>
      <c r="AB1" s="2" t="s">
        <v>46</v>
      </c>
      <c r="AC1" s="2" t="s">
        <v>47</v>
      </c>
    </row>
    <row r="2" spans="1:29" ht="180" x14ac:dyDescent="0.25">
      <c r="A2" s="2" t="s">
        <v>25</v>
      </c>
      <c r="B2" s="2" t="s">
        <v>39</v>
      </c>
      <c r="C2" s="2">
        <v>9766801602</v>
      </c>
      <c r="D2" s="3" t="s">
        <v>26</v>
      </c>
      <c r="E2" s="4">
        <v>229009589042</v>
      </c>
      <c r="F2" s="4">
        <v>119890006202</v>
      </c>
      <c r="G2" s="2">
        <v>3</v>
      </c>
      <c r="H2" s="1">
        <v>45753</v>
      </c>
      <c r="I2" s="2">
        <v>63098391</v>
      </c>
      <c r="J2" s="2">
        <v>3</v>
      </c>
      <c r="K2" s="2" t="s">
        <v>33</v>
      </c>
      <c r="L2" s="2">
        <v>3.3</v>
      </c>
      <c r="M2" s="2" t="s">
        <v>27</v>
      </c>
      <c r="N2" s="2" t="s">
        <v>32</v>
      </c>
      <c r="O2" s="2" t="s">
        <v>33</v>
      </c>
      <c r="P2" s="2">
        <v>525</v>
      </c>
      <c r="Q2" s="2">
        <v>6</v>
      </c>
      <c r="R2" s="2" t="str">
        <f>(P2*Q2)&amp;" WATT"</f>
        <v>3150 WATT</v>
      </c>
      <c r="S2" s="2" t="s">
        <v>30</v>
      </c>
      <c r="T2" s="2" t="s">
        <v>28</v>
      </c>
      <c r="U2" s="1">
        <v>45753</v>
      </c>
      <c r="V2" s="2" t="s">
        <v>22</v>
      </c>
      <c r="W2" s="2" t="s">
        <v>23</v>
      </c>
      <c r="X2" s="2" t="s">
        <v>29</v>
      </c>
      <c r="Y2" s="2">
        <v>195000</v>
      </c>
      <c r="Z2" s="1">
        <v>45773</v>
      </c>
      <c r="AA2" s="5">
        <v>1020477</v>
      </c>
      <c r="AB2" s="5" t="s">
        <v>44</v>
      </c>
      <c r="AC2" s="6" t="s">
        <v>45</v>
      </c>
    </row>
    <row r="3" spans="1:29" ht="180" x14ac:dyDescent="0.25">
      <c r="A3" s="2" t="s">
        <v>35</v>
      </c>
      <c r="B3" s="2" t="s">
        <v>40</v>
      </c>
      <c r="C3" s="2">
        <v>9860146641</v>
      </c>
      <c r="D3" s="3" t="s">
        <v>36</v>
      </c>
      <c r="E3" s="4">
        <v>783770372784</v>
      </c>
      <c r="F3" s="4">
        <v>119760113503</v>
      </c>
      <c r="G3" s="2">
        <v>3</v>
      </c>
      <c r="H3" s="1">
        <v>45739</v>
      </c>
      <c r="I3" s="2">
        <v>62438999</v>
      </c>
      <c r="J3" s="2">
        <v>3</v>
      </c>
      <c r="K3" s="2" t="s">
        <v>33</v>
      </c>
      <c r="L3" s="2">
        <v>5.3</v>
      </c>
      <c r="M3" s="2" t="s">
        <v>27</v>
      </c>
      <c r="N3" s="2" t="s">
        <v>41</v>
      </c>
      <c r="O3" s="2" t="s">
        <v>33</v>
      </c>
      <c r="P3" s="2">
        <v>525</v>
      </c>
      <c r="Q3" s="2">
        <v>6</v>
      </c>
      <c r="R3" s="2" t="str">
        <f>(P3*Q3)&amp;" WATT"</f>
        <v>3150 WATT</v>
      </c>
      <c r="S3" s="2" t="s">
        <v>38</v>
      </c>
      <c r="T3" s="2" t="s">
        <v>28</v>
      </c>
      <c r="U3" s="1">
        <v>45741</v>
      </c>
      <c r="V3" s="2" t="s">
        <v>22</v>
      </c>
      <c r="W3" s="2" t="s">
        <v>23</v>
      </c>
      <c r="X3" s="2" t="s">
        <v>37</v>
      </c>
      <c r="Y3" s="2">
        <v>210000</v>
      </c>
      <c r="Z3" s="1">
        <v>45773</v>
      </c>
      <c r="AA3" s="5">
        <v>1020477</v>
      </c>
      <c r="AB3" s="5" t="s">
        <v>44</v>
      </c>
      <c r="AC3" s="6" t="s">
        <v>45</v>
      </c>
    </row>
  </sheetData>
  <hyperlinks>
    <hyperlink ref="D2" r:id="rId1" xr:uid="{238A753D-5419-49EA-9A66-6299B1FF6227}"/>
    <hyperlink ref="D3" r:id="rId2" xr:uid="{4D340E17-D5C9-468E-8EFA-4F7D608BECD4}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Dharmesh</dc:creator>
  <cp:lastModifiedBy>Dharmesh</cp:lastModifiedBy>
  <dcterms:created xsi:type="dcterms:W3CDTF">2025-04-04T17:00:25Z</dcterms:created>
  <dcterms:modified xsi:type="dcterms:W3CDTF">2025-05-02T04:07:21Z</dcterms:modified>
</cp:coreProperties>
</file>